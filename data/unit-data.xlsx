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" windowWidth="22056" windowHeight="926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34" i="1" l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3" i="1"/>
  <c r="N12" i="1"/>
  <c r="N11" i="1"/>
  <c r="N10" i="1"/>
  <c r="N9" i="1"/>
  <c r="N8" i="1"/>
  <c r="N7" i="1"/>
  <c r="N6" i="1"/>
  <c r="N5" i="1"/>
  <c r="N4" i="1"/>
  <c r="M34" i="1" l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3" i="1"/>
  <c r="M12" i="1"/>
  <c r="M11" i="1"/>
  <c r="M10" i="1"/>
  <c r="M9" i="1"/>
  <c r="M8" i="1"/>
  <c r="M7" i="1"/>
  <c r="M6" i="1"/>
  <c r="M5" i="1"/>
  <c r="M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<sst xmlns="http://schemas.openxmlformats.org/spreadsheetml/2006/main" count="86" uniqueCount="20">
  <si>
    <t>dong</t>
    <phoneticPr fontId="1" type="noConversion"/>
  </si>
  <si>
    <t>ho</t>
    <phoneticPr fontId="1" type="noConversion"/>
  </si>
  <si>
    <t>type</t>
    <phoneticPr fontId="1" type="noConversion"/>
  </si>
  <si>
    <t>jeonse</t>
    <phoneticPr fontId="1" type="noConversion"/>
  </si>
  <si>
    <t>saleprice</t>
    <phoneticPr fontId="1" type="noConversion"/>
  </si>
  <si>
    <t>loan</t>
    <phoneticPr fontId="1" type="noConversion"/>
  </si>
  <si>
    <t>saletype</t>
    <phoneticPr fontId="1" type="noConversion"/>
  </si>
  <si>
    <t>pricetext</t>
    <phoneticPr fontId="1" type="noConversion"/>
  </si>
  <si>
    <t>balance</t>
    <phoneticPr fontId="1" type="noConversion"/>
  </si>
  <si>
    <t>realcash</t>
    <phoneticPr fontId="1" type="noConversion"/>
  </si>
  <si>
    <t>normal</t>
    <phoneticPr fontId="1" type="noConversion"/>
  </si>
  <si>
    <t>84A</t>
    <phoneticPr fontId="1" type="noConversion"/>
  </si>
  <si>
    <t>일반분양 (기준층 기준 9억대)</t>
  </si>
  <si>
    <t>calc</t>
    <phoneticPr fontId="1" type="noConversion"/>
  </si>
  <si>
    <t>floorgroup</t>
    <phoneticPr fontId="1" type="noConversion"/>
  </si>
  <si>
    <t>6~16층</t>
    <phoneticPr fontId="1" type="noConversion"/>
  </si>
  <si>
    <t>전체</t>
    <phoneticPr fontId="1" type="noConversion"/>
  </si>
  <si>
    <t>contract_1</t>
    <phoneticPr fontId="1" type="noConversion"/>
  </si>
  <si>
    <t>contract_2</t>
    <phoneticPr fontId="1" type="noConversion"/>
  </si>
  <si>
    <t>contract2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</si>
</sst>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topLeftCell="A12" workbookViewId="0">
      <selection activeCell="E20" sqref="E20"/>
    </sheetView>
  </sheetViews>
  <sheetFormatPr defaultRowHeight="17.399999999999999" x14ac:dyDescent="0.4"/>
  <cols>
    <col min="4" max="4" width="10.09765625" bestFit="1" customWidth="1"/>
    <col min="5" max="5" width="26.296875" bestFit="1" customWidth="1"/>
    <col min="7" max="7" width="10.3984375" bestFit="1" customWidth="1"/>
    <col min="8" max="8" width="11.09765625" customWidth="1"/>
    <col min="9" max="10" width="9.3984375" bestFit="1" customWidth="1"/>
    <col min="11" max="11" width="9.3984375" customWidth="1"/>
    <col min="12" max="12" width="10.3984375" bestFit="1" customWidth="1"/>
    <col min="13" max="13" width="11.19921875" bestFit="1" customWidth="1"/>
    <col min="14" max="14" width="10.3984375" bestFit="1" customWidth="1"/>
    <col min="15" max="15" width="9.3984375" bestFit="1" customWidth="1"/>
  </cols>
  <sheetData>
    <row r="1" spans="1:14" x14ac:dyDescent="0.4">
      <c r="A1" t="s">
        <v>0</v>
      </c>
      <c r="B1" t="s">
        <v>1</v>
      </c>
      <c r="C1" t="s">
        <v>6</v>
      </c>
      <c r="D1" t="s">
        <v>14</v>
      </c>
      <c r="E1" t="s">
        <v>7</v>
      </c>
      <c r="F1" t="s">
        <v>2</v>
      </c>
      <c r="G1" t="s">
        <v>3</v>
      </c>
      <c r="H1" t="s">
        <v>4</v>
      </c>
      <c r="I1" t="s">
        <v>17</v>
      </c>
      <c r="J1" t="s">
        <v>18</v>
      </c>
      <c r="K1" t="s">
        <v>19</v>
      </c>
      <c r="L1" t="s">
        <v>5</v>
      </c>
      <c r="M1" t="s">
        <v>8</v>
      </c>
      <c r="N1" t="s">
        <v>9</v>
      </c>
    </row>
    <row r="2" spans="1:14" x14ac:dyDescent="0.4">
      <c r="A2">
        <v>101</v>
      </c>
      <c r="C2" t="s">
        <v>10</v>
      </c>
      <c r="D2" t="s">
        <v>16</v>
      </c>
      <c r="E2" t="s">
        <v>12</v>
      </c>
      <c r="F2" t="s">
        <v>11</v>
      </c>
    </row>
    <row r="3" spans="1:14" x14ac:dyDescent="0.4">
      <c r="A3">
        <v>102</v>
      </c>
      <c r="C3" t="s">
        <v>10</v>
      </c>
      <c r="D3" t="s">
        <v>16</v>
      </c>
      <c r="E3" t="s">
        <v>12</v>
      </c>
      <c r="F3" t="s">
        <v>11</v>
      </c>
    </row>
    <row r="4" spans="1:14" x14ac:dyDescent="0.4">
      <c r="A4">
        <v>103</v>
      </c>
      <c r="B4">
        <v>101</v>
      </c>
      <c r="C4" t="s">
        <v>13</v>
      </c>
      <c r="F4" t="s">
        <v>11</v>
      </c>
      <c r="G4">
        <v>363000000</v>
      </c>
      <c r="H4">
        <v>525000000</v>
      </c>
      <c r="I4">
        <v>10000000</v>
      </c>
      <c r="J4">
        <v>20000000</v>
      </c>
      <c r="K4">
        <v>20000000</v>
      </c>
      <c r="L4">
        <f>SUM(G4*60%)</f>
        <v>217800000</v>
      </c>
      <c r="M4">
        <f>SUM(G4-L4-I4-J4)</f>
        <v>115200000</v>
      </c>
      <c r="N4">
        <f>SUM(G4-L4)</f>
        <v>145200000</v>
      </c>
    </row>
    <row r="5" spans="1:14" x14ac:dyDescent="0.4">
      <c r="A5">
        <v>103</v>
      </c>
      <c r="B5">
        <v>102</v>
      </c>
      <c r="C5" t="s">
        <v>13</v>
      </c>
      <c r="F5" t="s">
        <v>11</v>
      </c>
      <c r="G5">
        <v>363000000</v>
      </c>
      <c r="H5">
        <v>525000000</v>
      </c>
      <c r="I5">
        <v>10000000</v>
      </c>
      <c r="J5">
        <v>20000000</v>
      </c>
      <c r="L5">
        <f t="shared" ref="L5:L13" si="0">SUM(G5*60%)</f>
        <v>217800000</v>
      </c>
      <c r="M5">
        <f t="shared" ref="M5:M13" si="1">SUM(G5-L5-I5-J5)</f>
        <v>115200000</v>
      </c>
      <c r="N5">
        <f t="shared" ref="N5:N13" si="2">SUM(G5-L5)</f>
        <v>145200000</v>
      </c>
    </row>
    <row r="6" spans="1:14" x14ac:dyDescent="0.4">
      <c r="A6">
        <v>103</v>
      </c>
      <c r="B6">
        <v>201</v>
      </c>
      <c r="C6" t="s">
        <v>13</v>
      </c>
      <c r="F6" t="s">
        <v>11</v>
      </c>
      <c r="G6">
        <v>374000000</v>
      </c>
      <c r="H6">
        <v>530000000</v>
      </c>
      <c r="I6">
        <v>10000000</v>
      </c>
      <c r="J6">
        <v>20000000</v>
      </c>
      <c r="L6">
        <f t="shared" si="0"/>
        <v>224400000</v>
      </c>
      <c r="M6">
        <f t="shared" si="1"/>
        <v>119600000</v>
      </c>
      <c r="N6">
        <f t="shared" si="2"/>
        <v>149600000</v>
      </c>
    </row>
    <row r="7" spans="1:14" x14ac:dyDescent="0.4">
      <c r="A7">
        <v>103</v>
      </c>
      <c r="B7">
        <v>202</v>
      </c>
      <c r="C7" t="s">
        <v>13</v>
      </c>
      <c r="F7" t="s">
        <v>11</v>
      </c>
      <c r="G7">
        <v>374000000</v>
      </c>
      <c r="H7">
        <v>530000000</v>
      </c>
      <c r="I7">
        <v>10000000</v>
      </c>
      <c r="J7">
        <v>20000000</v>
      </c>
      <c r="L7">
        <f t="shared" si="0"/>
        <v>224400000</v>
      </c>
      <c r="M7">
        <f t="shared" si="1"/>
        <v>119600000</v>
      </c>
      <c r="N7">
        <f t="shared" si="2"/>
        <v>149600000</v>
      </c>
    </row>
    <row r="8" spans="1:14" x14ac:dyDescent="0.4">
      <c r="A8">
        <v>103</v>
      </c>
      <c r="B8">
        <v>301</v>
      </c>
      <c r="C8" t="s">
        <v>13</v>
      </c>
      <c r="F8" t="s">
        <v>11</v>
      </c>
      <c r="G8">
        <v>374000000</v>
      </c>
      <c r="H8">
        <v>535000000</v>
      </c>
      <c r="I8">
        <v>10000000</v>
      </c>
      <c r="J8">
        <v>20000000</v>
      </c>
      <c r="L8">
        <f t="shared" si="0"/>
        <v>224400000</v>
      </c>
      <c r="M8">
        <f t="shared" si="1"/>
        <v>119600000</v>
      </c>
      <c r="N8">
        <f t="shared" si="2"/>
        <v>149600000</v>
      </c>
    </row>
    <row r="9" spans="1:14" x14ac:dyDescent="0.4">
      <c r="A9">
        <v>103</v>
      </c>
      <c r="B9">
        <v>302</v>
      </c>
      <c r="C9" t="s">
        <v>13</v>
      </c>
      <c r="F9" t="s">
        <v>11</v>
      </c>
      <c r="G9">
        <v>374000000</v>
      </c>
      <c r="H9">
        <v>535000000</v>
      </c>
      <c r="I9">
        <v>10000000</v>
      </c>
      <c r="J9">
        <v>20000000</v>
      </c>
      <c r="L9">
        <f t="shared" si="0"/>
        <v>224400000</v>
      </c>
      <c r="M9">
        <f t="shared" si="1"/>
        <v>119600000</v>
      </c>
      <c r="N9">
        <f t="shared" si="2"/>
        <v>149600000</v>
      </c>
    </row>
    <row r="10" spans="1:14" x14ac:dyDescent="0.4">
      <c r="A10">
        <v>103</v>
      </c>
      <c r="B10">
        <v>401</v>
      </c>
      <c r="C10" t="s">
        <v>13</v>
      </c>
      <c r="F10" t="s">
        <v>11</v>
      </c>
      <c r="G10">
        <v>382000000</v>
      </c>
      <c r="H10">
        <v>540000000</v>
      </c>
      <c r="I10">
        <v>10000000</v>
      </c>
      <c r="J10">
        <v>20000000</v>
      </c>
      <c r="L10">
        <f t="shared" si="0"/>
        <v>229200000</v>
      </c>
      <c r="M10">
        <f t="shared" si="1"/>
        <v>122800000</v>
      </c>
      <c r="N10">
        <f t="shared" si="2"/>
        <v>152800000</v>
      </c>
    </row>
    <row r="11" spans="1:14" x14ac:dyDescent="0.4">
      <c r="A11">
        <v>103</v>
      </c>
      <c r="B11">
        <v>402</v>
      </c>
      <c r="C11" t="s">
        <v>13</v>
      </c>
      <c r="F11" t="s">
        <v>11</v>
      </c>
      <c r="G11">
        <v>382000000</v>
      </c>
      <c r="H11">
        <v>540000000</v>
      </c>
      <c r="I11">
        <v>10000000</v>
      </c>
      <c r="J11">
        <v>20000000</v>
      </c>
      <c r="L11">
        <f t="shared" si="0"/>
        <v>229200000</v>
      </c>
      <c r="M11">
        <f t="shared" si="1"/>
        <v>122800000</v>
      </c>
      <c r="N11">
        <f t="shared" si="2"/>
        <v>152800000</v>
      </c>
    </row>
    <row r="12" spans="1:14" x14ac:dyDescent="0.4">
      <c r="A12">
        <v>103</v>
      </c>
      <c r="B12">
        <v>501</v>
      </c>
      <c r="C12" t="s">
        <v>13</v>
      </c>
      <c r="F12" t="s">
        <v>11</v>
      </c>
      <c r="G12">
        <v>382000000</v>
      </c>
      <c r="H12">
        <v>540000000</v>
      </c>
      <c r="I12">
        <v>10000000</v>
      </c>
      <c r="J12">
        <v>20000000</v>
      </c>
      <c r="L12">
        <f t="shared" si="0"/>
        <v>229200000</v>
      </c>
      <c r="M12">
        <f t="shared" si="1"/>
        <v>122800000</v>
      </c>
      <c r="N12">
        <f t="shared" si="2"/>
        <v>152800000</v>
      </c>
    </row>
    <row r="13" spans="1:14" x14ac:dyDescent="0.4">
      <c r="A13">
        <v>103</v>
      </c>
      <c r="B13">
        <v>502</v>
      </c>
      <c r="C13" t="s">
        <v>13</v>
      </c>
      <c r="F13" t="s">
        <v>11</v>
      </c>
      <c r="G13">
        <v>382000000</v>
      </c>
      <c r="H13">
        <v>540000000</v>
      </c>
      <c r="I13">
        <v>10000000</v>
      </c>
      <c r="J13">
        <v>20000000</v>
      </c>
      <c r="L13">
        <f t="shared" si="0"/>
        <v>229200000</v>
      </c>
      <c r="M13">
        <f t="shared" si="1"/>
        <v>122800000</v>
      </c>
      <c r="N13">
        <f t="shared" si="2"/>
        <v>152800000</v>
      </c>
    </row>
    <row r="14" spans="1:14" x14ac:dyDescent="0.4">
      <c r="A14">
        <v>103</v>
      </c>
      <c r="C14" t="s">
        <v>10</v>
      </c>
      <c r="D14" t="s">
        <v>15</v>
      </c>
      <c r="E14" t="s">
        <v>12</v>
      </c>
      <c r="F14" t="s">
        <v>11</v>
      </c>
    </row>
    <row r="15" spans="1:14" x14ac:dyDescent="0.4">
      <c r="A15">
        <v>103</v>
      </c>
      <c r="B15">
        <v>1701</v>
      </c>
      <c r="C15" t="s">
        <v>13</v>
      </c>
      <c r="F15" t="s">
        <v>11</v>
      </c>
      <c r="G15">
        <v>390000000</v>
      </c>
      <c r="H15">
        <v>570000000</v>
      </c>
      <c r="I15">
        <v>10000000</v>
      </c>
      <c r="J15">
        <v>20000000</v>
      </c>
      <c r="K15">
        <v>20000000</v>
      </c>
      <c r="L15">
        <f t="shared" ref="L15:L34" si="3">SUM(G15*60%)</f>
        <v>234000000</v>
      </c>
      <c r="M15">
        <f t="shared" ref="M15:M34" si="4">SUM(G15-L15-I15-J15)</f>
        <v>126000000</v>
      </c>
      <c r="N15">
        <f t="shared" ref="N15:N34" si="5">SUM(G15-L15)</f>
        <v>156000000</v>
      </c>
    </row>
    <row r="16" spans="1:14" x14ac:dyDescent="0.4">
      <c r="A16">
        <v>103</v>
      </c>
      <c r="B16">
        <v>1702</v>
      </c>
      <c r="C16" t="s">
        <v>13</v>
      </c>
      <c r="F16" t="s">
        <v>11</v>
      </c>
      <c r="G16">
        <v>390000000</v>
      </c>
      <c r="H16">
        <v>570000000</v>
      </c>
      <c r="I16">
        <v>10000000</v>
      </c>
      <c r="J16">
        <v>20000000</v>
      </c>
      <c r="K16">
        <v>20000000</v>
      </c>
      <c r="L16">
        <f t="shared" si="3"/>
        <v>234000000</v>
      </c>
      <c r="M16">
        <f t="shared" si="4"/>
        <v>126000000</v>
      </c>
      <c r="N16">
        <f t="shared" si="5"/>
        <v>156000000</v>
      </c>
    </row>
    <row r="17" spans="1:14" x14ac:dyDescent="0.4">
      <c r="A17">
        <v>103</v>
      </c>
      <c r="B17">
        <v>1801</v>
      </c>
      <c r="C17" t="s">
        <v>13</v>
      </c>
      <c r="F17" t="s">
        <v>11</v>
      </c>
      <c r="G17">
        <v>390000000</v>
      </c>
      <c r="H17">
        <v>570000000</v>
      </c>
      <c r="I17">
        <v>10000000</v>
      </c>
      <c r="J17">
        <v>20000000</v>
      </c>
      <c r="K17">
        <v>20000000</v>
      </c>
      <c r="L17">
        <f t="shared" si="3"/>
        <v>234000000</v>
      </c>
      <c r="M17">
        <f t="shared" si="4"/>
        <v>126000000</v>
      </c>
      <c r="N17">
        <f t="shared" si="5"/>
        <v>156000000</v>
      </c>
    </row>
    <row r="18" spans="1:14" x14ac:dyDescent="0.4">
      <c r="A18">
        <v>103</v>
      </c>
      <c r="B18">
        <v>1802</v>
      </c>
      <c r="C18" t="s">
        <v>13</v>
      </c>
      <c r="F18" t="s">
        <v>11</v>
      </c>
      <c r="G18">
        <v>390000000</v>
      </c>
      <c r="H18">
        <v>570000000</v>
      </c>
      <c r="I18">
        <v>10000000</v>
      </c>
      <c r="J18">
        <v>20000000</v>
      </c>
      <c r="K18">
        <v>20000000</v>
      </c>
      <c r="L18">
        <f t="shared" si="3"/>
        <v>234000000</v>
      </c>
      <c r="M18">
        <f t="shared" si="4"/>
        <v>126000000</v>
      </c>
      <c r="N18">
        <f t="shared" si="5"/>
        <v>156000000</v>
      </c>
    </row>
    <row r="19" spans="1:14" x14ac:dyDescent="0.4">
      <c r="A19">
        <v>103</v>
      </c>
      <c r="B19">
        <v>1901</v>
      </c>
      <c r="C19" t="s">
        <v>13</v>
      </c>
      <c r="F19" t="s">
        <v>11</v>
      </c>
      <c r="G19">
        <v>390000000</v>
      </c>
      <c r="H19">
        <v>570000000</v>
      </c>
      <c r="I19">
        <v>10000000</v>
      </c>
      <c r="J19">
        <v>20000000</v>
      </c>
      <c r="K19">
        <v>20000000</v>
      </c>
      <c r="L19">
        <f t="shared" si="3"/>
        <v>234000000</v>
      </c>
      <c r="M19">
        <f t="shared" si="4"/>
        <v>126000000</v>
      </c>
      <c r="N19">
        <f t="shared" si="5"/>
        <v>156000000</v>
      </c>
    </row>
    <row r="20" spans="1:14" x14ac:dyDescent="0.4">
      <c r="A20">
        <v>103</v>
      </c>
      <c r="B20">
        <v>1902</v>
      </c>
      <c r="C20" t="s">
        <v>13</v>
      </c>
      <c r="F20" t="s">
        <v>11</v>
      </c>
      <c r="G20">
        <v>390000000</v>
      </c>
      <c r="H20">
        <v>570000000</v>
      </c>
      <c r="I20">
        <v>10000000</v>
      </c>
      <c r="J20">
        <v>20000000</v>
      </c>
      <c r="K20">
        <v>20000000</v>
      </c>
      <c r="L20">
        <f t="shared" si="3"/>
        <v>234000000</v>
      </c>
      <c r="M20">
        <f t="shared" si="4"/>
        <v>126000000</v>
      </c>
      <c r="N20">
        <f t="shared" si="5"/>
        <v>156000000</v>
      </c>
    </row>
    <row r="21" spans="1:14" x14ac:dyDescent="0.4">
      <c r="A21">
        <v>103</v>
      </c>
      <c r="B21">
        <v>2001</v>
      </c>
      <c r="C21" t="s">
        <v>13</v>
      </c>
      <c r="F21" t="s">
        <v>11</v>
      </c>
      <c r="G21">
        <v>390000000</v>
      </c>
      <c r="H21">
        <v>570000000</v>
      </c>
      <c r="I21">
        <v>10000000</v>
      </c>
      <c r="J21">
        <v>20000000</v>
      </c>
      <c r="K21">
        <v>20000000</v>
      </c>
      <c r="L21">
        <f t="shared" si="3"/>
        <v>234000000</v>
      </c>
      <c r="M21">
        <f t="shared" si="4"/>
        <v>126000000</v>
      </c>
      <c r="N21">
        <f t="shared" si="5"/>
        <v>156000000</v>
      </c>
    </row>
    <row r="22" spans="1:14" x14ac:dyDescent="0.4">
      <c r="A22">
        <v>103</v>
      </c>
      <c r="B22">
        <v>2002</v>
      </c>
      <c r="C22" t="s">
        <v>13</v>
      </c>
      <c r="F22" t="s">
        <v>11</v>
      </c>
      <c r="G22">
        <v>390000000</v>
      </c>
      <c r="H22">
        <v>570000000</v>
      </c>
      <c r="I22">
        <v>10000000</v>
      </c>
      <c r="J22">
        <v>20000000</v>
      </c>
      <c r="K22">
        <v>20000000</v>
      </c>
      <c r="L22">
        <f t="shared" si="3"/>
        <v>234000000</v>
      </c>
      <c r="M22">
        <f t="shared" si="4"/>
        <v>126000000</v>
      </c>
      <c r="N22">
        <f t="shared" si="5"/>
        <v>156000000</v>
      </c>
    </row>
    <row r="23" spans="1:14" x14ac:dyDescent="0.4">
      <c r="A23">
        <v>103</v>
      </c>
      <c r="B23">
        <v>2101</v>
      </c>
      <c r="C23" t="s">
        <v>13</v>
      </c>
      <c r="F23" t="s">
        <v>11</v>
      </c>
      <c r="G23">
        <v>397000000</v>
      </c>
      <c r="H23">
        <v>580000000</v>
      </c>
      <c r="I23">
        <v>10000000</v>
      </c>
      <c r="J23">
        <v>20000000</v>
      </c>
      <c r="K23">
        <v>20000000</v>
      </c>
      <c r="L23">
        <f t="shared" si="3"/>
        <v>238200000</v>
      </c>
      <c r="M23">
        <f t="shared" si="4"/>
        <v>128800000</v>
      </c>
      <c r="N23">
        <f t="shared" si="5"/>
        <v>158800000</v>
      </c>
    </row>
    <row r="24" spans="1:14" x14ac:dyDescent="0.4">
      <c r="A24">
        <v>103</v>
      </c>
      <c r="B24">
        <v>2102</v>
      </c>
      <c r="C24" t="s">
        <v>13</v>
      </c>
      <c r="F24" t="s">
        <v>11</v>
      </c>
      <c r="G24">
        <v>397000000</v>
      </c>
      <c r="H24">
        <v>580000000</v>
      </c>
      <c r="I24">
        <v>10000000</v>
      </c>
      <c r="J24">
        <v>20000000</v>
      </c>
      <c r="K24">
        <v>20000000</v>
      </c>
      <c r="L24">
        <f t="shared" si="3"/>
        <v>238200000</v>
      </c>
      <c r="M24">
        <f t="shared" si="4"/>
        <v>128800000</v>
      </c>
      <c r="N24">
        <f t="shared" si="5"/>
        <v>158800000</v>
      </c>
    </row>
    <row r="25" spans="1:14" x14ac:dyDescent="0.4">
      <c r="A25">
        <v>103</v>
      </c>
      <c r="B25">
        <v>2201</v>
      </c>
      <c r="C25" t="s">
        <v>13</v>
      </c>
      <c r="F25" t="s">
        <v>11</v>
      </c>
      <c r="G25">
        <v>397000000</v>
      </c>
      <c r="H25">
        <v>580000000</v>
      </c>
      <c r="I25">
        <v>10000000</v>
      </c>
      <c r="J25">
        <v>20000000</v>
      </c>
      <c r="K25">
        <v>20000000</v>
      </c>
      <c r="L25">
        <f t="shared" si="3"/>
        <v>238200000</v>
      </c>
      <c r="M25">
        <f t="shared" si="4"/>
        <v>128800000</v>
      </c>
      <c r="N25">
        <f t="shared" si="5"/>
        <v>158800000</v>
      </c>
    </row>
    <row r="26" spans="1:14" x14ac:dyDescent="0.4">
      <c r="A26">
        <v>103</v>
      </c>
      <c r="B26">
        <v>2202</v>
      </c>
      <c r="C26" t="s">
        <v>13</v>
      </c>
      <c r="F26" t="s">
        <v>11</v>
      </c>
      <c r="G26">
        <v>397000000</v>
      </c>
      <c r="H26">
        <v>580000000</v>
      </c>
      <c r="I26">
        <v>10000000</v>
      </c>
      <c r="J26">
        <v>20000000</v>
      </c>
      <c r="K26">
        <v>20000000</v>
      </c>
      <c r="L26">
        <f t="shared" si="3"/>
        <v>238200000</v>
      </c>
      <c r="M26">
        <f t="shared" si="4"/>
        <v>128800000</v>
      </c>
      <c r="N26">
        <f t="shared" si="5"/>
        <v>158800000</v>
      </c>
    </row>
    <row r="27" spans="1:14" x14ac:dyDescent="0.4">
      <c r="A27">
        <v>103</v>
      </c>
      <c r="B27">
        <v>2301</v>
      </c>
      <c r="C27" t="s">
        <v>13</v>
      </c>
      <c r="F27" t="s">
        <v>11</v>
      </c>
      <c r="G27">
        <v>397000000</v>
      </c>
      <c r="H27">
        <v>580000000</v>
      </c>
      <c r="I27">
        <v>10000000</v>
      </c>
      <c r="J27">
        <v>20000000</v>
      </c>
      <c r="K27">
        <v>20000000</v>
      </c>
      <c r="L27">
        <f t="shared" si="3"/>
        <v>238200000</v>
      </c>
      <c r="M27">
        <f t="shared" si="4"/>
        <v>128800000</v>
      </c>
      <c r="N27">
        <f t="shared" si="5"/>
        <v>158800000</v>
      </c>
    </row>
    <row r="28" spans="1:14" x14ac:dyDescent="0.4">
      <c r="A28">
        <v>103</v>
      </c>
      <c r="B28">
        <v>2302</v>
      </c>
      <c r="C28" t="s">
        <v>13</v>
      </c>
      <c r="F28" t="s">
        <v>11</v>
      </c>
      <c r="G28">
        <v>397000000</v>
      </c>
      <c r="H28">
        <v>580000000</v>
      </c>
      <c r="I28">
        <v>10000000</v>
      </c>
      <c r="J28">
        <v>20000000</v>
      </c>
      <c r="K28">
        <v>20000000</v>
      </c>
      <c r="L28">
        <f t="shared" si="3"/>
        <v>238200000</v>
      </c>
      <c r="M28">
        <f t="shared" si="4"/>
        <v>128800000</v>
      </c>
      <c r="N28">
        <f t="shared" si="5"/>
        <v>158800000</v>
      </c>
    </row>
    <row r="29" spans="1:14" x14ac:dyDescent="0.4">
      <c r="A29">
        <v>103</v>
      </c>
      <c r="B29">
        <v>2401</v>
      </c>
      <c r="C29" t="s">
        <v>13</v>
      </c>
      <c r="F29" t="s">
        <v>11</v>
      </c>
      <c r="G29">
        <v>397000000</v>
      </c>
      <c r="H29">
        <v>595000000</v>
      </c>
      <c r="I29">
        <v>10000000</v>
      </c>
      <c r="J29">
        <v>20000000</v>
      </c>
      <c r="K29">
        <v>20000000</v>
      </c>
      <c r="L29">
        <f t="shared" si="3"/>
        <v>238200000</v>
      </c>
      <c r="M29">
        <f t="shared" si="4"/>
        <v>128800000</v>
      </c>
      <c r="N29">
        <f t="shared" si="5"/>
        <v>158800000</v>
      </c>
    </row>
    <row r="30" spans="1:14" x14ac:dyDescent="0.4">
      <c r="A30">
        <v>103</v>
      </c>
      <c r="B30">
        <v>2402</v>
      </c>
      <c r="C30" t="s">
        <v>13</v>
      </c>
      <c r="F30" t="s">
        <v>11</v>
      </c>
      <c r="G30">
        <v>397000000</v>
      </c>
      <c r="H30">
        <v>595000000</v>
      </c>
      <c r="I30">
        <v>10000000</v>
      </c>
      <c r="J30">
        <v>20000000</v>
      </c>
      <c r="K30">
        <v>20000000</v>
      </c>
      <c r="L30">
        <f t="shared" si="3"/>
        <v>238200000</v>
      </c>
      <c r="M30">
        <f t="shared" si="4"/>
        <v>128800000</v>
      </c>
      <c r="N30">
        <f t="shared" si="5"/>
        <v>158800000</v>
      </c>
    </row>
    <row r="31" spans="1:14" x14ac:dyDescent="0.4">
      <c r="A31">
        <v>103</v>
      </c>
      <c r="B31">
        <v>2501</v>
      </c>
      <c r="C31" t="s">
        <v>13</v>
      </c>
      <c r="F31" t="s">
        <v>11</v>
      </c>
      <c r="G31">
        <v>397000000</v>
      </c>
      <c r="H31">
        <v>595000000</v>
      </c>
      <c r="I31">
        <v>10000000</v>
      </c>
      <c r="J31">
        <v>20000000</v>
      </c>
      <c r="K31">
        <v>20000000</v>
      </c>
      <c r="L31">
        <f t="shared" si="3"/>
        <v>238200000</v>
      </c>
      <c r="M31">
        <f t="shared" si="4"/>
        <v>128800000</v>
      </c>
      <c r="N31">
        <f t="shared" si="5"/>
        <v>158800000</v>
      </c>
    </row>
    <row r="32" spans="1:14" x14ac:dyDescent="0.4">
      <c r="A32">
        <v>103</v>
      </c>
      <c r="B32">
        <v>2502</v>
      </c>
      <c r="C32" t="s">
        <v>13</v>
      </c>
      <c r="F32" t="s">
        <v>11</v>
      </c>
      <c r="G32">
        <v>397000000</v>
      </c>
      <c r="H32">
        <v>595000000</v>
      </c>
      <c r="I32">
        <v>10000000</v>
      </c>
      <c r="J32">
        <v>20000000</v>
      </c>
      <c r="K32">
        <v>20000000</v>
      </c>
      <c r="L32">
        <f t="shared" si="3"/>
        <v>238200000</v>
      </c>
      <c r="M32">
        <f t="shared" si="4"/>
        <v>128800000</v>
      </c>
      <c r="N32">
        <f t="shared" si="5"/>
        <v>158800000</v>
      </c>
    </row>
    <row r="33" spans="1:14" x14ac:dyDescent="0.4">
      <c r="A33">
        <v>103</v>
      </c>
      <c r="B33">
        <v>2601</v>
      </c>
      <c r="C33" t="s">
        <v>13</v>
      </c>
      <c r="F33" t="s">
        <v>11</v>
      </c>
      <c r="G33">
        <v>397000000</v>
      </c>
      <c r="H33">
        <v>595000000</v>
      </c>
      <c r="I33">
        <v>10000000</v>
      </c>
      <c r="J33">
        <v>20000000</v>
      </c>
      <c r="K33">
        <v>20000000</v>
      </c>
      <c r="L33">
        <f t="shared" si="3"/>
        <v>238200000</v>
      </c>
      <c r="M33">
        <f t="shared" si="4"/>
        <v>128800000</v>
      </c>
      <c r="N33">
        <f t="shared" si="5"/>
        <v>158800000</v>
      </c>
    </row>
    <row r="34" spans="1:14" x14ac:dyDescent="0.4">
      <c r="A34">
        <v>103</v>
      </c>
      <c r="B34">
        <v>2602</v>
      </c>
      <c r="C34" t="s">
        <v>13</v>
      </c>
      <c r="F34" t="s">
        <v>11</v>
      </c>
      <c r="G34">
        <v>397000000</v>
      </c>
      <c r="H34">
        <v>595000000</v>
      </c>
      <c r="I34">
        <v>10000000</v>
      </c>
      <c r="J34">
        <v>20000000</v>
      </c>
      <c r="K34">
        <v>20000000</v>
      </c>
      <c r="L34">
        <f t="shared" si="3"/>
        <v>238200000</v>
      </c>
      <c r="M34">
        <f t="shared" si="4"/>
        <v>128800000</v>
      </c>
      <c r="N34">
        <f t="shared" si="5"/>
        <v>158800000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by</dc:creator>
  <cp:lastModifiedBy>ny by</cp:lastModifiedBy>
  <dcterms:created xsi:type="dcterms:W3CDTF">2026-04-18T00:42:58Z</dcterms:created>
  <dcterms:modified xsi:type="dcterms:W3CDTF">2026-04-18T05:13:34Z</dcterms:modified>
</cp:coreProperties>
</file>